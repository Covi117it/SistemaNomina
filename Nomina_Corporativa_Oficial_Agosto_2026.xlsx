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f9e16e39e42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06100f632f4399b3f01fb3ccf84579.psmdcp" Id="R40f64c8cf133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ómina General" sheetId="1" r:id="rId2"/>
  </x:sheets>
  <x:definedNames/>
  <x:calcPr calcId="125725"/>
</x:workbook>
</file>

<file path=xl/calcChain.xml><?xml version="1.0" encoding="utf-8"?>
<x:calcChain xmlns:x="http://schemas.openxmlformats.org/spreadsheetml/2006/main">
  <x:c r="K19" i="1"/>
  <x:c r="L19" i="1"/>
  <x:c r="M19" i="1"/>
  <x:c r="N19" i="1"/>
  <x:c r="O19" i="1"/>
  <x:c r="P19" i="1"/>
  <x:c r="Q19" i="1"/>
  <x:c r="R19" i="1"/>
  <x:c r="S19" i="1"/>
  <x:c r="T19" i="1"/>
  <x:c r="U19" i="1"/>
  <x:c r="V19" i="1"/>
  <x:c r="W19" i="1"/>
  <x:c r="X19" i="1"/>
</x:calcChain>
</file>

<file path=xl/sharedStrings.xml><?xml version="1.0" encoding="utf-8"?>
<x:sst xmlns:x="http://schemas.openxmlformats.org/spreadsheetml/2006/main">
  <x:si>
    <x:t>ENFOCO, SRL - NÓMINA GENERAL DE EMPLEADOS Y COLABORADORES</x:t>
  </x:si>
  <x:si>
    <x:t>RNC: 131-98765-4 | PERÍODO: AGOSTO 2026 (QUINCENA 2Q) | FECHA DE PAGO: 30/08/2026 | MONEDA: PESOS DOMINICANOS (DOP)</x:t>
  </x:si>
  <x:si>
    <x:t>CÓDIGO EMPLEADO</x:t>
  </x:si>
  <x:si>
    <x:t>EMPLEADO</x:t>
  </x:si>
  <x:si>
    <x:t>CÉDULA</x:t>
  </x:si>
  <x:si>
    <x:t>DEPARTAMENTO</x:t>
  </x:si>
  <x:si>
    <x:t>PUESTO</x:t>
  </x:si>
  <x:si>
    <x:t>BANCO</x:t>
  </x:si>
  <x:si>
    <x:t>TIPO CUENTA</x:t>
  </x:si>
  <x:si>
    <x:t>NO. CUENTA BANCARIA</x:t>
  </x:si>
  <x:si>
    <x:t>QUINCENA</x:t>
  </x:si>
  <x:si>
    <x:t>DÍAS TRABAJADOS</x:t>
  </x:si>
  <x:si>
    <x:t>SUELDO BASE</x:t>
  </x:si>
  <x:si>
    <x:t>INCENTIVO</x:t>
  </x:si>
  <x:si>
    <x:t>HORAS EXTRAS</x:t>
  </x:si>
  <x:si>
    <x:t>REEMBOLSO</x:t>
  </x:si>
  <x:si>
    <x:t>TOTAL DEVENGADO</x:t>
  </x:si>
  <x:si>
    <x:t>SFS</x:t>
  </x:si>
  <x:si>
    <x:t>AFP</x:t>
  </x:si>
  <x:si>
    <x:t>ISR</x:t>
  </x:si>
  <x:si>
    <x:t>PRESTAMO</x:t>
  </x:si>
  <x:si>
    <x:t>CUOTA CUMPLEAÑOS</x:t>
  </x:si>
  <x:si>
    <x:t>SEGURO VEHICULO</x:t>
  </x:si>
  <x:si>
    <x:t>SEGURO MEDICO</x:t>
  </x:si>
  <x:si>
    <x:t>TOTAL DEDUCCIONES</x:t>
  </x:si>
  <x:si>
    <x:t>NETO A PAGAR</x:t>
  </x:si>
  <x:si>
    <x:t>MÉTODO DE PAGO</x:t>
  </x:si>
  <x:si>
    <x:t>OBSERVACIONES</x:t>
  </x:si>
  <x:si>
    <x:t>001</x:t>
  </x:si>
  <x:si>
    <x:t>Jorge Martínez</x:t>
  </x:si>
  <x:si>
    <x:t>001-1193998-9</x:t>
  </x:si>
  <x:si>
    <x:t>Dirección General</x:t>
  </x:si>
  <x:si>
    <x:t>Gerente General</x:t>
  </x:si>
  <x:si>
    <x:t>Banco Popular</x:t>
  </x:si>
  <x:si>
    <x:t>Corriente</x:t>
  </x:si>
  <x:si>
    <x:t>748920194</x:t>
  </x:si>
  <x:si>
    <x:t>2Q</x:t>
  </x:si>
  <x:si>
    <x:t>Transferencia ACH</x:t>
  </x:si>
  <x:si>
    <x:t>Pago quincenal ordinario</x:t>
  </x:si>
  <x:si>
    <x:t>002</x:t>
  </x:si>
  <x:si>
    <x:t>Yinet Jerez Noboa</x:t>
  </x:si>
  <x:si>
    <x:t>001-0131654-5</x:t>
  </x:si>
  <x:si>
    <x:t>Administración</x:t>
  </x:si>
  <x:si>
    <x:t>Directora Administrativa</x:t>
  </x:si>
  <x:si>
    <x:t>Banco BHD</x:t>
  </x:si>
  <x:si>
    <x:t>Ahorros</x:t>
  </x:si>
  <x:si>
    <x:t>839201928</x:t>
  </x:si>
  <x:si>
    <x:t>Incluye bono desempeño</x:t>
  </x:si>
  <x:si>
    <x:t>003</x:t>
  </x:si>
  <x:si>
    <x:t>José Manuel De León</x:t>
  </x:si>
  <x:si>
    <x:t>223-0103411-6</x:t>
  </x:si>
  <x:si>
    <x:t>Tecnología</x:t>
  </x:si>
  <x:si>
    <x:t>Gerente Desarrollo de Software</x:t>
  </x:si>
  <x:si>
    <x:t>Banreservas</x:t>
  </x:si>
  <x:si>
    <x:t>920194827</x:t>
  </x:si>
  <x:si>
    <x:t>Descuento préstamo cuota 4/12</x:t>
  </x:si>
  <x:si>
    <x:t>004</x:t>
  </x:si>
  <x:si>
    <x:t>Miguel Angel Carrión</x:t>
  </x:si>
  <x:si>
    <x:t>001-1859583-4</x:t>
  </x:si>
  <x:si>
    <x:t>Ingeniero de Software Senior</x:t>
  </x:si>
  <x:si>
    <x:t>102938475</x:t>
  </x:si>
  <x:si>
    <x:t>005</x:t>
  </x:si>
  <x:si>
    <x:t>Delvin Martínez</x:t>
  </x:si>
  <x:si>
    <x:t>229-0021149-5</x:t>
  </x:si>
  <x:si>
    <x:t>Ingeniero de Software</x:t>
  </x:si>
  <x:si>
    <x:t>564738291</x:t>
  </x:si>
  <x:si>
    <x:t>Descuento préstamo cuota 2/6</x:t>
  </x:si>
  <x:si>
    <x:t>006</x:t>
  </x:si>
  <x:si>
    <x:t>Rosa Elba Martínez</x:t>
  </x:si>
  <x:si>
    <x:t>229-0002689-3</x:t>
  </x:si>
  <x:si>
    <x:t>Proyectos</x:t>
  </x:si>
  <x:si>
    <x:t>Analista de Proyectos</x:t>
  </x:si>
  <x:si>
    <x:t>483920193</x:t>
  </x:si>
  <x:si>
    <x:t>007</x:t>
  </x:si>
  <x:si>
    <x:t>Talia Villaman Guzman</x:t>
  </x:si>
  <x:si>
    <x:t>061-0031753-3</x:t>
  </x:si>
  <x:si>
    <x:t>Ingeniero de Software Junior</x:t>
  </x:si>
  <x:si>
    <x:t>392019482</x:t>
  </x:si>
  <x:si>
    <x:t>Viáticos aprobados por gerencia</x:t>
  </x:si>
  <x:si>
    <x:t>008</x:t>
  </x:si>
  <x:si>
    <x:t>Isaias Emil Gomez</x:t>
  </x:si>
  <x:si>
    <x:t>402-3035128-6</x:t>
  </x:si>
  <x:si>
    <x:t>291049283</x:t>
  </x:si>
  <x:si>
    <x:t>Descuento préstamo cuota 1/3</x:t>
  </x:si>
  <x:si>
    <x:t>009</x:t>
  </x:si>
  <x:si>
    <x:t>Enmanuel Leandro Gomez</x:t>
  </x:si>
  <x:si>
    <x:t>402-1237492-6</x:t>
  </x:si>
  <x:si>
    <x:t>192837465</x:t>
  </x:si>
  <x:si>
    <x:t>010</x:t>
  </x:si>
  <x:si>
    <x:t>Maria Rondon (Alexandra)</x:t>
  </x:si>
  <x:si>
    <x:t>001-1354425-8</x:t>
  </x:si>
  <x:si>
    <x:t>Servicios Generales</x:t>
  </x:si>
  <x:si>
    <x:t>Conserje</x:t>
  </x:si>
  <x:si>
    <x:t>938201948</x:t>
  </x:si>
  <x:si>
    <x:t>011</x:t>
  </x:si>
  <x:si>
    <x:t>José Manuel Peña Ventura</x:t>
  </x:si>
  <x:si>
    <x:t>402-2934971-3</x:t>
  </x:si>
  <x:si>
    <x:t>482019482</x:t>
  </x:si>
  <x:si>
    <x:t>012</x:t>
  </x:si>
  <x:si>
    <x:t>Daniel Emil Mejia Valerio</x:t>
  </x:si>
  <x:si>
    <x:t>402-0890983-4</x:t>
  </x:si>
  <x:si>
    <x:t>382910492</x:t>
  </x:si>
  <x:si>
    <x:t>Incluye bono por proyectos</x:t>
  </x:si>
  <x:si>
    <x:t>013</x:t>
  </x:si>
  <x:si>
    <x:t>Denzel Martínez</x:t>
  </x:si>
  <x:si>
    <x:t>402-0202904-6</x:t>
  </x:si>
  <x:si>
    <x:t>294820194</x:t>
  </x:si>
  <x:si>
    <x:t>014</x:t>
  </x:si>
  <x:si>
    <x:t>Heral Reyes Sanchez</x:t>
  </x:si>
  <x:si>
    <x:t>402-1380047-3</x:t>
  </x:si>
  <x:si>
    <x:t>182930492</x:t>
  </x:si>
  <x:si>
    <x:t>TOTALES DE LA NÓMINA GENERAL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</x:si>
</x:sst>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&quot;RD$&quot; 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0"/>
      <x:color rgb="FF38BDF8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E293B"/>
      </x:patternFill>
    </x:fill>
    <x:fill>
      <x:patternFill patternType="solid">
        <x:fgColor rgb="FF15803D"/>
      </x:patternFill>
    </x:fill>
    <x:fill>
      <x:patternFill patternType="solid">
        <x:fgColor rgb="FFB91C1C"/>
      </x:patternFill>
    </x:fill>
    <x:fill>
      <x:patternFill patternType="solid">
        <x:fgColor rgb="FF1D4ED8"/>
      </x:patternFill>
    </x:fill>
    <x:fill>
      <x:patternFill patternType="solid">
        <x:fgColor rgb="FF475569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BD5E1"/>
      </x:right>
      <x:top style="medium">
        <x:color rgb="FF000000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medium">
        <x:color rgb="FF000000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medium">
        <x:color rgb="FF000000"/>
      </x:right>
      <x:top style="medium">
        <x:color rgb="FF000000"/>
      </x:top>
      <x:bottom style="thin">
        <x:color rgb="FFCBD5E1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CBD5E1"/>
      </x:left>
      <x:right style="medium">
        <x:color rgb="FF000000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CBD5E1"/>
      </x:right>
      <x:top style="thin">
        <x:color rgb="FFCBD5E1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medium">
        <x:color rgb="FF000000"/>
      </x:right>
      <x:top style="thin">
        <x:color rgb="FFCBD5E1"/>
      </x:top>
      <x:bottom style="medium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0" fontId="3" fillId="6" borderId="2" applyNumberFormat="1" applyFill="0" applyBorder="1" applyAlignment="1" applyProtection="1">
      <x:protection locked="1" hidden="0"/>
    </x:xf>
    <x:xf numFmtId="0" fontId="3" fillId="7" borderId="2" applyNumberFormat="1" applyFill="0" applyBorder="1" applyAlignment="1" applyProtection="1">
      <x:protection locked="1" hidden="0"/>
    </x:xf>
    <x:xf numFmtId="0" fontId="3" fillId="7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164" fontId="4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8" borderId="4" applyNumberFormat="1" applyFill="0" applyBorder="1" applyAlignment="1" applyProtection="1">
      <x:protection locked="1" hidden="0"/>
    </x:xf>
    <x:xf numFmtId="0" fontId="0" fillId="8" borderId="5" applyNumberFormat="1" applyFill="0" applyBorder="1" applyAlignment="1" applyProtection="1">
      <x:protection locked="1" hidden="0"/>
    </x:xf>
    <x:xf numFmtId="164" fontId="0" fillId="8" borderId="5" applyNumberFormat="1" applyFill="0" applyBorder="1" applyAlignment="1" applyProtection="1">
      <x:protection locked="1" hidden="0"/>
    </x:xf>
    <x:xf numFmtId="164" fontId="4" fillId="8" borderId="5" applyNumberFormat="1" applyFill="0" applyBorder="1" applyAlignment="1" applyProtection="1">
      <x:protection locked="1" hidden="0"/>
    </x:xf>
    <x:xf numFmtId="0" fontId="0" fillId="8" borderId="6" applyNumberFormat="1" applyFill="0" applyBorder="1" applyAlignment="1" applyProtection="1">
      <x:protection locked="1" hidden="0"/>
    </x:xf>
    <x:xf numFmtId="0" fontId="4" fillId="9" borderId="7" applyNumberFormat="1" applyFill="0" applyBorder="1" applyAlignment="1" applyProtection="1">
      <x:protection locked="1" hidden="0"/>
    </x:xf>
    <x:xf numFmtId="0" fontId="0" fillId="9" borderId="8" applyNumberFormat="1" applyFill="0" applyBorder="1" applyAlignment="1" applyProtection="1">
      <x:protection locked="1" hidden="0"/>
    </x:xf>
    <x:xf numFmtId="164" fontId="4" fillId="9" borderId="8" applyNumberFormat="1" applyFill="0" applyBorder="1" applyAlignment="1" applyProtection="1">
      <x:protection locked="1" hidden="0"/>
    </x:xf>
    <x:xf numFmtId="0" fontId="0" fillId="9" borderId="9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9" borderId="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9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9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9" borderId="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Z19"/>
  <x:sheetViews>
    <x:sheetView workbookViewId="0"/>
  </x:sheetViews>
  <x:sheetFormatPr defaultRowHeight="15"/>
  <x:cols>
    <x:col min="1" max="1" width="17.567768" style="0" customWidth="1"/>
    <x:col min="2" max="2" width="24.853482" style="0" customWidth="1"/>
    <x:col min="3" max="3" width="13.710625" style="0" customWidth="1"/>
    <x:col min="4" max="4" width="18.139196" style="0" customWidth="1"/>
    <x:col min="5" max="5" width="28.996339" style="0" customWidth="1"/>
    <x:col min="6" max="6" width="13.996339" style="0" customWidth="1"/>
    <x:col min="7" max="7" width="11.853482" style="0" customWidth="1"/>
    <x:col min="8" max="8" width="20.424911" style="0" customWidth="1"/>
    <x:col min="9" max="9" width="9.996339" style="0" customWidth="1"/>
    <x:col min="10" max="10" width="15.710625" style="0" customWidth="1"/>
    <x:col min="11" max="11" width="14.567768" style="0" customWidth="1"/>
    <x:col min="12" max="12" width="12.567768" style="0" customWidth="1"/>
    <x:col min="13" max="13" width="13.282054" style="0" customWidth="1"/>
    <x:col min="14" max="14" width="12.567768" style="0" customWidth="1"/>
    <x:col min="15" max="15" width="17.567768" style="0" customWidth="1"/>
    <x:col min="16" max="17" width="13.567768" style="0" customWidth="1"/>
    <x:col min="18" max="19" width="12.567768" style="0" customWidth="1"/>
    <x:col min="20" max="20" width="19.139196" style="0" customWidth="1"/>
    <x:col min="21" max="21" width="16.710625" style="0" customWidth="1"/>
    <x:col min="22" max="22" width="14.996339" style="0" customWidth="1"/>
    <x:col min="23" max="23" width="18.710625" style="0" customWidth="1"/>
    <x:col min="24" max="24" width="14.567768" style="0" customWidth="1"/>
    <x:col min="25" max="25" width="16.996339" style="0" customWidth="1"/>
    <x:col min="26" max="26" width="29.853482" style="0" customWidth="1"/>
  </x:cols>
  <x:sheetData>
    <x:row r="1" spans="1:26" ht="30" customHeight="1">
      <x:c r="A1" s="1" t="s">
        <x:v>0</x:v>
      </x:c>
    </x:row>
    <x:row r="2" spans="1:26" ht="20" customHeight="1">
      <x:c r="A2" s="2" t="s">
        <x:v>1</x:v>
      </x:c>
    </x:row>
    <x:row r="4" spans="1:26" ht="26" customHeight="1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5" t="s">
        <x:v>12</x:v>
      </x:c>
      <x:c r="L4" s="5" t="s">
        <x:v>13</x:v>
      </x:c>
      <x:c r="M4" s="5" t="s">
        <x:v>14</x:v>
      </x:c>
      <x:c r="N4" s="5" t="s">
        <x:v>15</x:v>
      </x:c>
      <x:c r="O4" s="5" t="s">
        <x:v>16</x:v>
      </x:c>
      <x:c r="P4" s="6" t="s">
        <x:v>17</x:v>
      </x:c>
      <x:c r="Q4" s="6" t="s">
        <x:v>18</x:v>
      </x:c>
      <x:c r="R4" s="6" t="s">
        <x:v>19</x:v>
      </x:c>
      <x:c r="S4" s="6" t="s">
        <x:v>20</x:v>
      </x:c>
      <x:c r="T4" s="6" t="s">
        <x:v>21</x:v>
      </x:c>
      <x:c r="U4" s="6" t="s">
        <x:v>22</x:v>
      </x:c>
      <x:c r="V4" s="6" t="s">
        <x:v>23</x:v>
      </x:c>
      <x:c r="W4" s="6" t="s">
        <x:v>24</x:v>
      </x:c>
      <x:c r="X4" s="7" t="s">
        <x:v>25</x:v>
      </x:c>
      <x:c r="Y4" s="8" t="s">
        <x:v>26</x:v>
      </x:c>
      <x:c r="Z4" s="9" t="s">
        <x:v>27</x:v>
      </x:c>
    </x:row>
    <x:row r="5" spans="1:26" ht="20" customHeight="1">
      <x:c r="A5" s="10" t="s">
        <x:v>28</x:v>
      </x:c>
      <x:c r="B5" s="11" t="s">
        <x:v>29</x:v>
      </x:c>
      <x:c r="C5" s="12" t="s">
        <x:v>30</x:v>
      </x:c>
      <x:c r="D5" s="11" t="s">
        <x:v>31</x:v>
      </x:c>
      <x:c r="E5" s="11" t="s">
        <x:v>32</x:v>
      </x:c>
      <x:c r="F5" s="11" t="s">
        <x:v>33</x:v>
      </x:c>
      <x:c r="G5" s="12" t="s">
        <x:v>34</x:v>
      </x:c>
      <x:c r="H5" s="12" t="s">
        <x:v>35</x:v>
      </x:c>
      <x:c r="I5" s="12" t="s">
        <x:v>36</x:v>
      </x:c>
      <x:c r="J5" s="12">
        <x:v>15</x:v>
      </x:c>
      <x:c r="K5" s="13">
        <x:v>45000</x:v>
      </x:c>
      <x:c r="L5" s="13">
        <x:v>2500</x:v>
      </x:c>
      <x:c r="M5" s="13">
        <x:v>0</x:v>
      </x:c>
      <x:c r="N5" s="13">
        <x:v>1500</x:v>
      </x:c>
      <x:c r="O5" s="14">
        <x:v>49000</x:v>
      </x:c>
      <x:c r="P5" s="13">
        <x:v>1368</x:v>
      </x:c>
      <x:c r="Q5" s="13">
        <x:v>1291.5</x:v>
      </x:c>
      <x:c r="R5" s="13">
        <x:v>850</x:v>
      </x:c>
      <x:c r="S5" s="13">
        <x:v>0</x:v>
      </x:c>
      <x:c r="T5" s="13">
        <x:v>200</x:v>
      </x:c>
      <x:c r="U5" s="13">
        <x:v>500</x:v>
      </x:c>
      <x:c r="V5" s="13">
        <x:v>350</x:v>
      </x:c>
      <x:c r="W5" s="14">
        <x:v>4559.5</x:v>
      </x:c>
      <x:c r="X5" s="14">
        <x:v>44440.5</x:v>
      </x:c>
      <x:c r="Y5" s="11" t="s">
        <x:v>37</x:v>
      </x:c>
      <x:c r="Z5" s="15" t="s">
        <x:v>38</x:v>
      </x:c>
    </x:row>
    <x:row r="6" spans="1:26" ht="20" customHeight="1">
      <x:c r="A6" s="16" t="s">
        <x:v>39</x:v>
      </x:c>
      <x:c r="B6" s="17" t="s">
        <x:v>40</x:v>
      </x:c>
      <x:c r="C6" s="18" t="s">
        <x:v>41</x:v>
      </x:c>
      <x:c r="D6" s="17" t="s">
        <x:v>42</x:v>
      </x:c>
      <x:c r="E6" s="17" t="s">
        <x:v>43</x:v>
      </x:c>
      <x:c r="F6" s="17" t="s">
        <x:v>44</x:v>
      </x:c>
      <x:c r="G6" s="18" t="s">
        <x:v>45</x:v>
      </x:c>
      <x:c r="H6" s="18" t="s">
        <x:v>46</x:v>
      </x:c>
      <x:c r="I6" s="18" t="s">
        <x:v>36</x:v>
      </x:c>
      <x:c r="J6" s="18">
        <x:v>15</x:v>
      </x:c>
      <x:c r="K6" s="19">
        <x:v>40000</x:v>
      </x:c>
      <x:c r="L6" s="19">
        <x:v>1500</x:v>
      </x:c>
      <x:c r="M6" s="19">
        <x:v>500</x:v>
      </x:c>
      <x:c r="N6" s="19">
        <x:v>0</x:v>
      </x:c>
      <x:c r="O6" s="20">
        <x:v>42000</x:v>
      </x:c>
      <x:c r="P6" s="19">
        <x:v>1216</x:v>
      </x:c>
      <x:c r="Q6" s="19">
        <x:v>1148</x:v>
      </x:c>
      <x:c r="R6" s="19">
        <x:v>520</x:v>
      </x:c>
      <x:c r="S6" s="19">
        <x:v>0</x:v>
      </x:c>
      <x:c r="T6" s="19">
        <x:v>200</x:v>
      </x:c>
      <x:c r="U6" s="19">
        <x:v>0</x:v>
      </x:c>
      <x:c r="V6" s="19">
        <x:v>350</x:v>
      </x:c>
      <x:c r="W6" s="20">
        <x:v>3434</x:v>
      </x:c>
      <x:c r="X6" s="20">
        <x:v>38566</x:v>
      </x:c>
      <x:c r="Y6" s="17" t="s">
        <x:v>37</x:v>
      </x:c>
      <x:c r="Z6" s="21" t="s">
        <x:v>47</x:v>
      </x:c>
    </x:row>
    <x:row r="7" spans="1:26" ht="20" customHeight="1">
      <x:c r="A7" s="10" t="s">
        <x:v>48</x:v>
      </x:c>
      <x:c r="B7" s="11" t="s">
        <x:v>49</x:v>
      </x:c>
      <x:c r="C7" s="12" t="s">
        <x:v>50</x:v>
      </x:c>
      <x:c r="D7" s="11" t="s">
        <x:v>51</x:v>
      </x:c>
      <x:c r="E7" s="11" t="s">
        <x:v>52</x:v>
      </x:c>
      <x:c r="F7" s="11" t="s">
        <x:v>53</x:v>
      </x:c>
      <x:c r="G7" s="12" t="s">
        <x:v>45</x:v>
      </x:c>
      <x:c r="H7" s="12" t="s">
        <x:v>54</x:v>
      </x:c>
      <x:c r="I7" s="12" t="s">
        <x:v>36</x:v>
      </x:c>
      <x:c r="J7" s="12">
        <x:v>15</x:v>
      </x:c>
      <x:c r="K7" s="13">
        <x:v>35000</x:v>
      </x:c>
      <x:c r="L7" s="13">
        <x:v>0</x:v>
      </x:c>
      <x:c r="M7" s="13">
        <x:v>1200</x:v>
      </x:c>
      <x:c r="N7" s="13">
        <x:v>0</x:v>
      </x:c>
      <x:c r="O7" s="14">
        <x:v>36200</x:v>
      </x:c>
      <x:c r="P7" s="13">
        <x:v>1064</x:v>
      </x:c>
      <x:c r="Q7" s="13">
        <x:v>1004.5</x:v>
      </x:c>
      <x:c r="R7" s="13">
        <x:v>300</x:v>
      </x:c>
      <x:c r="S7" s="13">
        <x:v>1500</x:v>
      </x:c>
      <x:c r="T7" s="13">
        <x:v>200</x:v>
      </x:c>
      <x:c r="U7" s="13">
        <x:v>400</x:v>
      </x:c>
      <x:c r="V7" s="13">
        <x:v>0</x:v>
      </x:c>
      <x:c r="W7" s="14">
        <x:v>4468.5</x:v>
      </x:c>
      <x:c r="X7" s="14">
        <x:v>31731.5</x:v>
      </x:c>
      <x:c r="Y7" s="11" t="s">
        <x:v>37</x:v>
      </x:c>
      <x:c r="Z7" s="15" t="s">
        <x:v>55</x:v>
      </x:c>
    </x:row>
    <x:row r="8" spans="1:26" ht="20" customHeight="1">
      <x:c r="A8" s="16" t="s">
        <x:v>56</x:v>
      </x:c>
      <x:c r="B8" s="17" t="s">
        <x:v>57</x:v>
      </x:c>
      <x:c r="C8" s="18" t="s">
        <x:v>58</x:v>
      </x:c>
      <x:c r="D8" s="17" t="s">
        <x:v>51</x:v>
      </x:c>
      <x:c r="E8" s="17" t="s">
        <x:v>59</x:v>
      </x:c>
      <x:c r="F8" s="17" t="s">
        <x:v>33</x:v>
      </x:c>
      <x:c r="G8" s="18" t="s">
        <x:v>45</x:v>
      </x:c>
      <x:c r="H8" s="18" t="s">
        <x:v>60</x:v>
      </x:c>
      <x:c r="I8" s="18" t="s">
        <x:v>36</x:v>
      </x:c>
      <x:c r="J8" s="18">
        <x:v>15</x:v>
      </x:c>
      <x:c r="K8" s="19">
        <x:v>30000</x:v>
      </x:c>
      <x:c r="L8" s="19">
        <x:v>1000</x:v>
      </x:c>
      <x:c r="M8" s="19">
        <x:v>0</x:v>
      </x:c>
      <x:c r="N8" s="19">
        <x:v>0</x:v>
      </x:c>
      <x:c r="O8" s="20">
        <x:v>31000</x:v>
      </x:c>
      <x:c r="P8" s="19">
        <x:v>912</x:v>
      </x:c>
      <x:c r="Q8" s="19">
        <x:v>861</x:v>
      </x:c>
      <x:c r="R8" s="19">
        <x:v>0</x:v>
      </x:c>
      <x:c r="S8" s="19">
        <x:v>0</x:v>
      </x:c>
      <x:c r="T8" s="19">
        <x:v>200</x:v>
      </x:c>
      <x:c r="U8" s="19">
        <x:v>0</x:v>
      </x:c>
      <x:c r="V8" s="19">
        <x:v>350</x:v>
      </x:c>
      <x:c r="W8" s="20">
        <x:v>2323</x:v>
      </x:c>
      <x:c r="X8" s="20">
        <x:v>28677</x:v>
      </x:c>
      <x:c r="Y8" s="17" t="s">
        <x:v>37</x:v>
      </x:c>
      <x:c r="Z8" s="21" t="s">
        <x:v>38</x:v>
      </x:c>
    </x:row>
    <x:row r="9" spans="1:26" ht="20" customHeight="1">
      <x:c r="A9" s="10" t="s">
        <x:v>61</x:v>
      </x:c>
      <x:c r="B9" s="11" t="s">
        <x:v>62</x:v>
      </x:c>
      <x:c r="C9" s="12" t="s">
        <x:v>63</x:v>
      </x:c>
      <x:c r="D9" s="11" t="s">
        <x:v>51</x:v>
      </x:c>
      <x:c r="E9" s="11" t="s">
        <x:v>64</x:v>
      </x:c>
      <x:c r="F9" s="11" t="s">
        <x:v>33</x:v>
      </x:c>
      <x:c r="G9" s="12" t="s">
        <x:v>45</x:v>
      </x:c>
      <x:c r="H9" s="12" t="s">
        <x:v>65</x:v>
      </x:c>
      <x:c r="I9" s="12" t="s">
        <x:v>36</x:v>
      </x:c>
      <x:c r="J9" s="12">
        <x:v>15</x:v>
      </x:c>
      <x:c r="K9" s="13">
        <x:v>28000</x:v>
      </x:c>
      <x:c r="L9" s="13">
        <x:v>0</x:v>
      </x:c>
      <x:c r="M9" s="13">
        <x:v>0</x:v>
      </x:c>
      <x:c r="N9" s="13">
        <x:v>0</x:v>
      </x:c>
      <x:c r="O9" s="14">
        <x:v>28000</x:v>
      </x:c>
      <x:c r="P9" s="13">
        <x:v>851.2</x:v>
      </x:c>
      <x:c r="Q9" s="13">
        <x:v>803.6</x:v>
      </x:c>
      <x:c r="R9" s="13">
        <x:v>0</x:v>
      </x:c>
      <x:c r="S9" s="13">
        <x:v>1000</x:v>
      </x:c>
      <x:c r="T9" s="13">
        <x:v>200</x:v>
      </x:c>
      <x:c r="U9" s="13">
        <x:v>0</x:v>
      </x:c>
      <x:c r="V9" s="13">
        <x:v>0</x:v>
      </x:c>
      <x:c r="W9" s="14">
        <x:v>2854.8</x:v>
      </x:c>
      <x:c r="X9" s="14">
        <x:v>25145.2</x:v>
      </x:c>
      <x:c r="Y9" s="11" t="s">
        <x:v>37</x:v>
      </x:c>
      <x:c r="Z9" s="15" t="s">
        <x:v>66</x:v>
      </x:c>
    </x:row>
    <x:row r="10" spans="1:26" ht="20" customHeight="1">
      <x:c r="A10" s="16" t="s">
        <x:v>67</x:v>
      </x:c>
      <x:c r="B10" s="17" t="s">
        <x:v>68</x:v>
      </x:c>
      <x:c r="C10" s="18" t="s">
        <x:v>69</x:v>
      </x:c>
      <x:c r="D10" s="17" t="s">
        <x:v>70</x:v>
      </x:c>
      <x:c r="E10" s="17" t="s">
        <x:v>71</x:v>
      </x:c>
      <x:c r="F10" s="17" t="s">
        <x:v>44</x:v>
      </x:c>
      <x:c r="G10" s="18" t="s">
        <x:v>45</x:v>
      </x:c>
      <x:c r="H10" s="18" t="s">
        <x:v>72</x:v>
      </x:c>
      <x:c r="I10" s="18" t="s">
        <x:v>36</x:v>
      </x:c>
      <x:c r="J10" s="18">
        <x:v>15</x:v>
      </x:c>
      <x:c r="K10" s="19">
        <x:v>25000</x:v>
      </x:c>
      <x:c r="L10" s="19">
        <x:v>800</x:v>
      </x:c>
      <x:c r="M10" s="19">
        <x:v>0</x:v>
      </x:c>
      <x:c r="N10" s="19">
        <x:v>0</x:v>
      </x:c>
      <x:c r="O10" s="20">
        <x:v>25800</x:v>
      </x:c>
      <x:c r="P10" s="19">
        <x:v>760</x:v>
      </x:c>
      <x:c r="Q10" s="19">
        <x:v>717.5</x:v>
      </x:c>
      <x:c r="R10" s="19">
        <x:v>0</x:v>
      </x:c>
      <x:c r="S10" s="19">
        <x:v>0</x:v>
      </x:c>
      <x:c r="T10" s="19">
        <x:v>200</x:v>
      </x:c>
      <x:c r="U10" s="19">
        <x:v>0</x:v>
      </x:c>
      <x:c r="V10" s="19">
        <x:v>350</x:v>
      </x:c>
      <x:c r="W10" s="20">
        <x:v>2027.5</x:v>
      </x:c>
      <x:c r="X10" s="20">
        <x:v>23772.5</x:v>
      </x:c>
      <x:c r="Y10" s="17" t="s">
        <x:v>37</x:v>
      </x:c>
      <x:c r="Z10" s="21" t="s">
        <x:v>38</x:v>
      </x:c>
    </x:row>
    <x:row r="11" spans="1:26" ht="20" customHeight="1">
      <x:c r="A11" s="10" t="s">
        <x:v>73</x:v>
      </x:c>
      <x:c r="B11" s="11" t="s">
        <x:v>74</x:v>
      </x:c>
      <x:c r="C11" s="12" t="s">
        <x:v>75</x:v>
      </x:c>
      <x:c r="D11" s="11" t="s">
        <x:v>51</x:v>
      </x:c>
      <x:c r="E11" s="11" t="s">
        <x:v>76</x:v>
      </x:c>
      <x:c r="F11" s="11" t="s">
        <x:v>53</x:v>
      </x:c>
      <x:c r="G11" s="12" t="s">
        <x:v>45</x:v>
      </x:c>
      <x:c r="H11" s="12" t="s">
        <x:v>77</x:v>
      </x:c>
      <x:c r="I11" s="12" t="s">
        <x:v>36</x:v>
      </x:c>
      <x:c r="J11" s="12">
        <x:v>15</x:v>
      </x:c>
      <x:c r="K11" s="13">
        <x:v>22000</x:v>
      </x:c>
      <x:c r="L11" s="13">
        <x:v>0</x:v>
      </x:c>
      <x:c r="M11" s="13">
        <x:v>400</x:v>
      </x:c>
      <x:c r="N11" s="13">
        <x:v>300</x:v>
      </x:c>
      <x:c r="O11" s="14">
        <x:v>22700</x:v>
      </x:c>
      <x:c r="P11" s="13">
        <x:v>668.8</x:v>
      </x:c>
      <x:c r="Q11" s="13">
        <x:v>631.4</x:v>
      </x:c>
      <x:c r="R11" s="13">
        <x:v>0</x:v>
      </x:c>
      <x:c r="S11" s="13">
        <x:v>0</x:v>
      </x:c>
      <x:c r="T11" s="13">
        <x:v>200</x:v>
      </x:c>
      <x:c r="U11" s="13">
        <x:v>0</x:v>
      </x:c>
      <x:c r="V11" s="13">
        <x:v>0</x:v>
      </x:c>
      <x:c r="W11" s="14">
        <x:v>1500.2</x:v>
      </x:c>
      <x:c r="X11" s="14">
        <x:v>21199.8</x:v>
      </x:c>
      <x:c r="Y11" s="11" t="s">
        <x:v>37</x:v>
      </x:c>
      <x:c r="Z11" s="15" t="s">
        <x:v>78</x:v>
      </x:c>
    </x:row>
    <x:row r="12" spans="1:26" ht="20" customHeight="1">
      <x:c r="A12" s="16" t="s">
        <x:v>79</x:v>
      </x:c>
      <x:c r="B12" s="17" t="s">
        <x:v>80</x:v>
      </x:c>
      <x:c r="C12" s="18" t="s">
        <x:v>81</x:v>
      </x:c>
      <x:c r="D12" s="17" t="s">
        <x:v>51</x:v>
      </x:c>
      <x:c r="E12" s="17" t="s">
        <x:v>76</x:v>
      </x:c>
      <x:c r="F12" s="17" t="s">
        <x:v>33</x:v>
      </x:c>
      <x:c r="G12" s="18" t="s">
        <x:v>45</x:v>
      </x:c>
      <x:c r="H12" s="18" t="s">
        <x:v>82</x:v>
      </x:c>
      <x:c r="I12" s="18" t="s">
        <x:v>36</x:v>
      </x:c>
      <x:c r="J12" s="18">
        <x:v>15</x:v>
      </x:c>
      <x:c r="K12" s="19">
        <x:v>20000</x:v>
      </x:c>
      <x:c r="L12" s="19">
        <x:v>500</x:v>
      </x:c>
      <x:c r="M12" s="19">
        <x:v>0</x:v>
      </x:c>
      <x:c r="N12" s="19">
        <x:v>0</x:v>
      </x:c>
      <x:c r="O12" s="20">
        <x:v>20500</x:v>
      </x:c>
      <x:c r="P12" s="19">
        <x:v>608</x:v>
      </x:c>
      <x:c r="Q12" s="19">
        <x:v>574</x:v>
      </x:c>
      <x:c r="R12" s="19">
        <x:v>0</x:v>
      </x:c>
      <x:c r="S12" s="19">
        <x:v>500</x:v>
      </x:c>
      <x:c r="T12" s="19">
        <x:v>200</x:v>
      </x:c>
      <x:c r="U12" s="19">
        <x:v>0</x:v>
      </x:c>
      <x:c r="V12" s="19">
        <x:v>0</x:v>
      </x:c>
      <x:c r="W12" s="20">
        <x:v>1882</x:v>
      </x:c>
      <x:c r="X12" s="20">
        <x:v>18618</x:v>
      </x:c>
      <x:c r="Y12" s="17" t="s">
        <x:v>37</x:v>
      </x:c>
      <x:c r="Z12" s="21" t="s">
        <x:v>83</x:v>
      </x:c>
    </x:row>
    <x:row r="13" spans="1:26" ht="20" customHeight="1">
      <x:c r="A13" s="10" t="s">
        <x:v>84</x:v>
      </x:c>
      <x:c r="B13" s="11" t="s">
        <x:v>85</x:v>
      </x:c>
      <x:c r="C13" s="12" t="s">
        <x:v>86</x:v>
      </x:c>
      <x:c r="D13" s="11" t="s">
        <x:v>51</x:v>
      </x:c>
      <x:c r="E13" s="11" t="s">
        <x:v>76</x:v>
      </x:c>
      <x:c r="F13" s="11" t="s">
        <x:v>33</x:v>
      </x:c>
      <x:c r="G13" s="12" t="s">
        <x:v>45</x:v>
      </x:c>
      <x:c r="H13" s="12" t="s">
        <x:v>87</x:v>
      </x:c>
      <x:c r="I13" s="12" t="s">
        <x:v>36</x:v>
      </x:c>
      <x:c r="J13" s="12">
        <x:v>15</x:v>
      </x:c>
      <x:c r="K13" s="13">
        <x:v>20000</x:v>
      </x:c>
      <x:c r="L13" s="13">
        <x:v>0</x:v>
      </x:c>
      <x:c r="M13" s="13">
        <x:v>0</x:v>
      </x:c>
      <x:c r="N13" s="13">
        <x:v>0</x:v>
      </x:c>
      <x:c r="O13" s="14">
        <x:v>20000</x:v>
      </x:c>
      <x:c r="P13" s="13">
        <x:v>608</x:v>
      </x:c>
      <x:c r="Q13" s="13">
        <x:v>574</x:v>
      </x:c>
      <x:c r="R13" s="13">
        <x:v>0</x:v>
      </x:c>
      <x:c r="S13" s="13">
        <x:v>0</x:v>
      </x:c>
      <x:c r="T13" s="13">
        <x:v>200</x:v>
      </x:c>
      <x:c r="U13" s="13">
        <x:v>0</x:v>
      </x:c>
      <x:c r="V13" s="13">
        <x:v>0</x:v>
      </x:c>
      <x:c r="W13" s="14">
        <x:v>1382</x:v>
      </x:c>
      <x:c r="X13" s="14">
        <x:v>18618</x:v>
      </x:c>
      <x:c r="Y13" s="11" t="s">
        <x:v>37</x:v>
      </x:c>
      <x:c r="Z13" s="15" t="s">
        <x:v>38</x:v>
      </x:c>
    </x:row>
    <x:row r="14" spans="1:26" ht="20" customHeight="1">
      <x:c r="A14" s="16" t="s">
        <x:v>88</x:v>
      </x:c>
      <x:c r="B14" s="17" t="s">
        <x:v>89</x:v>
      </x:c>
      <x:c r="C14" s="18" t="s">
        <x:v>90</x:v>
      </x:c>
      <x:c r="D14" s="17" t="s">
        <x:v>91</x:v>
      </x:c>
      <x:c r="E14" s="17" t="s">
        <x:v>92</x:v>
      </x:c>
      <x:c r="F14" s="17" t="s">
        <x:v>53</x:v>
      </x:c>
      <x:c r="G14" s="18" t="s">
        <x:v>45</x:v>
      </x:c>
      <x:c r="H14" s="18" t="s">
        <x:v>93</x:v>
      </x:c>
      <x:c r="I14" s="18" t="s">
        <x:v>36</x:v>
      </x:c>
      <x:c r="J14" s="18">
        <x:v>15</x:v>
      </x:c>
      <x:c r="K14" s="19">
        <x:v>18000</x:v>
      </x:c>
      <x:c r="L14" s="19">
        <x:v>0</x:v>
      </x:c>
      <x:c r="M14" s="19">
        <x:v>0</x:v>
      </x:c>
      <x:c r="N14" s="19">
        <x:v>0</x:v>
      </x:c>
      <x:c r="O14" s="20">
        <x:v>18000</x:v>
      </x:c>
      <x:c r="P14" s="19">
        <x:v>547.2</x:v>
      </x:c>
      <x:c r="Q14" s="19">
        <x:v>516.6</x:v>
      </x:c>
      <x:c r="R14" s="19">
        <x:v>0</x:v>
      </x:c>
      <x:c r="S14" s="19">
        <x:v>0</x:v>
      </x:c>
      <x:c r="T14" s="19">
        <x:v>200</x:v>
      </x:c>
      <x:c r="U14" s="19">
        <x:v>0</x:v>
      </x:c>
      <x:c r="V14" s="19">
        <x:v>0</x:v>
      </x:c>
      <x:c r="W14" s="20">
        <x:v>1263.8</x:v>
      </x:c>
      <x:c r="X14" s="20">
        <x:v>16736.2</x:v>
      </x:c>
      <x:c r="Y14" s="17" t="s">
        <x:v>37</x:v>
      </x:c>
      <x:c r="Z14" s="21" t="s">
        <x:v>38</x:v>
      </x:c>
    </x:row>
    <x:row r="15" spans="1:26" ht="20" customHeight="1">
      <x:c r="A15" s="10" t="s">
        <x:v>94</x:v>
      </x:c>
      <x:c r="B15" s="11" t="s">
        <x:v>95</x:v>
      </x:c>
      <x:c r="C15" s="12" t="s">
        <x:v>96</x:v>
      </x:c>
      <x:c r="D15" s="11" t="s">
        <x:v>51</x:v>
      </x:c>
      <x:c r="E15" s="11" t="s">
        <x:v>76</x:v>
      </x:c>
      <x:c r="F15" s="11" t="s">
        <x:v>44</x:v>
      </x:c>
      <x:c r="G15" s="12" t="s">
        <x:v>45</x:v>
      </x:c>
      <x:c r="H15" s="12" t="s">
        <x:v>97</x:v>
      </x:c>
      <x:c r="I15" s="12" t="s">
        <x:v>36</x:v>
      </x:c>
      <x:c r="J15" s="12">
        <x:v>15</x:v>
      </x:c>
      <x:c r="K15" s="13">
        <x:v>20000</x:v>
      </x:c>
      <x:c r="L15" s="13">
        <x:v>0</x:v>
      </x:c>
      <x:c r="M15" s="13">
        <x:v>0</x:v>
      </x:c>
      <x:c r="N15" s="13">
        <x:v>0</x:v>
      </x:c>
      <x:c r="O15" s="14">
        <x:v>20000</x:v>
      </x:c>
      <x:c r="P15" s="13">
        <x:v>608</x:v>
      </x:c>
      <x:c r="Q15" s="13">
        <x:v>574</x:v>
      </x:c>
      <x:c r="R15" s="13">
        <x:v>0</x:v>
      </x:c>
      <x:c r="S15" s="13">
        <x:v>0</x:v>
      </x:c>
      <x:c r="T15" s="13">
        <x:v>200</x:v>
      </x:c>
      <x:c r="U15" s="13">
        <x:v>0</x:v>
      </x:c>
      <x:c r="V15" s="13">
        <x:v>0</x:v>
      </x:c>
      <x:c r="W15" s="14">
        <x:v>1382</x:v>
      </x:c>
      <x:c r="X15" s="14">
        <x:v>18618</x:v>
      </x:c>
      <x:c r="Y15" s="11" t="s">
        <x:v>37</x:v>
      </x:c>
      <x:c r="Z15" s="15" t="s">
        <x:v>38</x:v>
      </x:c>
    </x:row>
    <x:row r="16" spans="1:26" ht="20" customHeight="1">
      <x:c r="A16" s="16" t="s">
        <x:v>98</x:v>
      </x:c>
      <x:c r="B16" s="17" t="s">
        <x:v>99</x:v>
      </x:c>
      <x:c r="C16" s="18" t="s">
        <x:v>100</x:v>
      </x:c>
      <x:c r="D16" s="17" t="s">
        <x:v>51</x:v>
      </x:c>
      <x:c r="E16" s="17" t="s">
        <x:v>76</x:v>
      </x:c>
      <x:c r="F16" s="17" t="s">
        <x:v>33</x:v>
      </x:c>
      <x:c r="G16" s="18" t="s">
        <x:v>45</x:v>
      </x:c>
      <x:c r="H16" s="18" t="s">
        <x:v>101</x:v>
      </x:c>
      <x:c r="I16" s="18" t="s">
        <x:v>36</x:v>
      </x:c>
      <x:c r="J16" s="18">
        <x:v>15</x:v>
      </x:c>
      <x:c r="K16" s="19">
        <x:v>20000</x:v>
      </x:c>
      <x:c r="L16" s="19">
        <x:v>1000</x:v>
      </x:c>
      <x:c r="M16" s="19">
        <x:v>0</x:v>
      </x:c>
      <x:c r="N16" s="19">
        <x:v>0</x:v>
      </x:c>
      <x:c r="O16" s="20">
        <x:v>21000</x:v>
      </x:c>
      <x:c r="P16" s="19">
        <x:v>608</x:v>
      </x:c>
      <x:c r="Q16" s="19">
        <x:v>574</x:v>
      </x:c>
      <x:c r="R16" s="19">
        <x:v>0</x:v>
      </x:c>
      <x:c r="S16" s="19">
        <x:v>0</x:v>
      </x:c>
      <x:c r="T16" s="19">
        <x:v>200</x:v>
      </x:c>
      <x:c r="U16" s="19">
        <x:v>0</x:v>
      </x:c>
      <x:c r="V16" s="19">
        <x:v>350</x:v>
      </x:c>
      <x:c r="W16" s="20">
        <x:v>1732</x:v>
      </x:c>
      <x:c r="X16" s="20">
        <x:v>19268</x:v>
      </x:c>
      <x:c r="Y16" s="17" t="s">
        <x:v>37</x:v>
      </x:c>
      <x:c r="Z16" s="21" t="s">
        <x:v>102</x:v>
      </x:c>
    </x:row>
    <x:row r="17" spans="1:26" ht="20" customHeight="1">
      <x:c r="A17" s="10" t="s">
        <x:v>103</x:v>
      </x:c>
      <x:c r="B17" s="11" t="s">
        <x:v>104</x:v>
      </x:c>
      <x:c r="C17" s="12" t="s">
        <x:v>105</x:v>
      </x:c>
      <x:c r="D17" s="11" t="s">
        <x:v>51</x:v>
      </x:c>
      <x:c r="E17" s="11" t="s">
        <x:v>76</x:v>
      </x:c>
      <x:c r="F17" s="11" t="s">
        <x:v>33</x:v>
      </x:c>
      <x:c r="G17" s="12" t="s">
        <x:v>45</x:v>
      </x:c>
      <x:c r="H17" s="12" t="s">
        <x:v>106</x:v>
      </x:c>
      <x:c r="I17" s="12" t="s">
        <x:v>36</x:v>
      </x:c>
      <x:c r="J17" s="12">
        <x:v>15</x:v>
      </x:c>
      <x:c r="K17" s="13">
        <x:v>20000</x:v>
      </x:c>
      <x:c r="L17" s="13">
        <x:v>0</x:v>
      </x:c>
      <x:c r="M17" s="13">
        <x:v>0</x:v>
      </x:c>
      <x:c r="N17" s="13">
        <x:v>0</x:v>
      </x:c>
      <x:c r="O17" s="14">
        <x:v>20000</x:v>
      </x:c>
      <x:c r="P17" s="13">
        <x:v>608</x:v>
      </x:c>
      <x:c r="Q17" s="13">
        <x:v>574</x:v>
      </x:c>
      <x:c r="R17" s="13">
        <x:v>0</x:v>
      </x:c>
      <x:c r="S17" s="13">
        <x:v>0</x:v>
      </x:c>
      <x:c r="T17" s="13">
        <x:v>200</x:v>
      </x:c>
      <x:c r="U17" s="13">
        <x:v>0</x:v>
      </x:c>
      <x:c r="V17" s="13">
        <x:v>0</x:v>
      </x:c>
      <x:c r="W17" s="14">
        <x:v>1382</x:v>
      </x:c>
      <x:c r="X17" s="14">
        <x:v>18618</x:v>
      </x:c>
      <x:c r="Y17" s="11" t="s">
        <x:v>37</x:v>
      </x:c>
      <x:c r="Z17" s="15" t="s">
        <x:v>38</x:v>
      </x:c>
    </x:row>
    <x:row r="18" spans="1:26" ht="20" customHeight="1">
      <x:c r="A18" s="16" t="s">
        <x:v>107</x:v>
      </x:c>
      <x:c r="B18" s="17" t="s">
        <x:v>108</x:v>
      </x:c>
      <x:c r="C18" s="18" t="s">
        <x:v>109</x:v>
      </x:c>
      <x:c r="D18" s="17" t="s">
        <x:v>51</x:v>
      </x:c>
      <x:c r="E18" s="17" t="s">
        <x:v>76</x:v>
      </x:c>
      <x:c r="F18" s="17" t="s">
        <x:v>53</x:v>
      </x:c>
      <x:c r="G18" s="18" t="s">
        <x:v>45</x:v>
      </x:c>
      <x:c r="H18" s="18" t="s">
        <x:v>110</x:v>
      </x:c>
      <x:c r="I18" s="18" t="s">
        <x:v>36</x:v>
      </x:c>
      <x:c r="J18" s="18">
        <x:v>15</x:v>
      </x:c>
      <x:c r="K18" s="19">
        <x:v>20000</x:v>
      </x:c>
      <x:c r="L18" s="19">
        <x:v>0</x:v>
      </x:c>
      <x:c r="M18" s="19">
        <x:v>0</x:v>
      </x:c>
      <x:c r="N18" s="19">
        <x:v>0</x:v>
      </x:c>
      <x:c r="O18" s="20">
        <x:v>20000</x:v>
      </x:c>
      <x:c r="P18" s="19">
        <x:v>608</x:v>
      </x:c>
      <x:c r="Q18" s="19">
        <x:v>574</x:v>
      </x:c>
      <x:c r="R18" s="19">
        <x:v>0</x:v>
      </x:c>
      <x:c r="S18" s="19">
        <x:v>0</x:v>
      </x:c>
      <x:c r="T18" s="19">
        <x:v>200</x:v>
      </x:c>
      <x:c r="U18" s="19">
        <x:v>0</x:v>
      </x:c>
      <x:c r="V18" s="19">
        <x:v>0</x:v>
      </x:c>
      <x:c r="W18" s="20">
        <x:v>1382</x:v>
      </x:c>
      <x:c r="X18" s="20">
        <x:v>18618</x:v>
      </x:c>
      <x:c r="Y18" s="17" t="s">
        <x:v>37</x:v>
      </x:c>
      <x:c r="Z18" s="21" t="s">
        <x:v>38</x:v>
      </x:c>
    </x:row>
    <x:row r="19" spans="1:26" ht="24" customHeight="1">
      <x:c r="A19" s="22" t="s">
        <x:v>111</x:v>
      </x:c>
      <x:c r="B19" s="23"/>
      <x:c r="C19" s="23"/>
      <x:c r="D19" s="23"/>
      <x:c r="E19" s="23"/>
      <x:c r="F19" s="23"/>
      <x:c r="G19" s="23"/>
      <x:c r="H19" s="23"/>
      <x:c r="I19" s="23"/>
      <x:c r="J19" s="23"/>
      <x:c r="K19" s="24">
        <x:f>SUM(K5:K18)</x:f>
      </x:c>
      <x:c r="L19" s="24">
        <x:f>SUM(L5:L18)</x:f>
      </x:c>
      <x:c r="M19" s="24">
        <x:f>SUM(M5:M18)</x:f>
      </x:c>
      <x:c r="N19" s="24">
        <x:f>SUM(N5:N18)</x:f>
      </x:c>
      <x:c r="O19" s="24">
        <x:f>SUM(O5:O18)</x:f>
      </x:c>
      <x:c r="P19" s="24">
        <x:f>SUM(P5:P18)</x:f>
      </x:c>
      <x:c r="Q19" s="24">
        <x:f>SUM(Q5:Q18)</x:f>
      </x:c>
      <x:c r="R19" s="24">
        <x:f>SUM(R5:R18)</x:f>
      </x:c>
      <x:c r="S19" s="24">
        <x:f>SUM(S5:S18)</x:f>
      </x:c>
      <x:c r="T19" s="24">
        <x:f>SUM(T5:T18)</x:f>
      </x:c>
      <x:c r="U19" s="24">
        <x:f>SUM(U5:U18)</x:f>
      </x:c>
      <x:c r="V19" s="24">
        <x:f>SUM(V5:V18)</x:f>
      </x:c>
      <x:c r="W19" s="24">
        <x:f>SUM(W5:W18)</x:f>
      </x:c>
      <x:c r="X19" s="24">
        <x:f>SUM(X5:X18)</x:f>
      </x:c>
      <x:c r="Y19" s="23"/>
      <x:c r="Z19" s="25"/>
    </x:row>
  </x:sheetData>
  <x:mergeCells count="3">
    <x:mergeCell ref="A1:W1"/>
    <x:mergeCell ref="A2:W2"/>
    <x:mergeCell ref="A19:J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Nómina General</vt:lpstr>
      <vt:lpstr>Nómina General!Print_Area</vt:lpstr>
      <vt:lpstr>Nómina General!Print_Titles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